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科研\论文\数据融合\PLOS ONE\Response\raw data\"/>
    </mc:Choice>
  </mc:AlternateContent>
  <xr:revisionPtr revIDLastSave="0" documentId="13_ncr:1_{2E95292A-8140-4E22-B4F6-33AF42085017}" xr6:coauthVersionLast="47" xr6:coauthVersionMax="47" xr10:uidLastSave="{00000000-0000-0000-0000-000000000000}"/>
  <bookViews>
    <workbookView xWindow="3720" yWindow="1410" windowWidth="28800" windowHeight="156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N38" i="1" l="1"/>
  <c r="K38" i="1"/>
  <c r="J38" i="1"/>
  <c r="M38" i="1" s="1"/>
  <c r="I38" i="1"/>
  <c r="P38" i="1" s="1"/>
  <c r="Q38" i="1" s="1"/>
  <c r="J37" i="1"/>
  <c r="M37" i="1" s="1"/>
  <c r="I37" i="1"/>
  <c r="P37" i="1" s="1"/>
  <c r="Q37" i="1" s="1"/>
  <c r="P32" i="1"/>
  <c r="Q32" i="1" s="1"/>
  <c r="O32" i="1"/>
  <c r="J32" i="1"/>
  <c r="L32" i="1" s="1"/>
  <c r="I32" i="1"/>
  <c r="J31" i="1"/>
  <c r="M31" i="1" s="1"/>
  <c r="I31" i="1"/>
  <c r="P31" i="1" s="1"/>
  <c r="Q31" i="1" s="1"/>
  <c r="J26" i="1"/>
  <c r="K26" i="1" s="1"/>
  <c r="I26" i="1"/>
  <c r="P26" i="1" s="1"/>
  <c r="Q26" i="1" s="1"/>
  <c r="J25" i="1"/>
  <c r="K25" i="1" s="1"/>
  <c r="I25" i="1"/>
  <c r="P25" i="1" s="1"/>
  <c r="Q25" i="1" s="1"/>
  <c r="J24" i="1"/>
  <c r="N24" i="1" s="1"/>
  <c r="I24" i="1"/>
  <c r="P24" i="1" s="1"/>
  <c r="Q24" i="1" s="1"/>
  <c r="J23" i="1"/>
  <c r="K23" i="1" s="1"/>
  <c r="I23" i="1"/>
  <c r="P23" i="1" s="1"/>
  <c r="Q23" i="1" s="1"/>
  <c r="P18" i="1"/>
  <c r="Q18" i="1" s="1"/>
  <c r="O18" i="1"/>
  <c r="N18" i="1"/>
  <c r="M18" i="1"/>
  <c r="J18" i="1"/>
  <c r="L18" i="1" s="1"/>
  <c r="I18" i="1"/>
  <c r="J17" i="1"/>
  <c r="N17" i="1" s="1"/>
  <c r="I17" i="1"/>
  <c r="P17" i="1" s="1"/>
  <c r="Q17" i="1" s="1"/>
  <c r="P16" i="1"/>
  <c r="Q16" i="1" s="1"/>
  <c r="O16" i="1"/>
  <c r="N16" i="1"/>
  <c r="M16" i="1"/>
  <c r="K16" i="1"/>
  <c r="J16" i="1"/>
  <c r="L16" i="1" s="1"/>
  <c r="I16" i="1"/>
  <c r="J15" i="1"/>
  <c r="L15" i="1" s="1"/>
  <c r="I15" i="1"/>
  <c r="P15" i="1" s="1"/>
  <c r="Q15" i="1" s="1"/>
  <c r="J14" i="1"/>
  <c r="K14" i="1" s="1"/>
  <c r="I14" i="1"/>
  <c r="P14" i="1" s="1"/>
  <c r="Q14" i="1" s="1"/>
  <c r="J9" i="1"/>
  <c r="M9" i="1" s="1"/>
  <c r="I9" i="1"/>
  <c r="P9" i="1" s="1"/>
  <c r="Q9" i="1" s="1"/>
  <c r="J8" i="1"/>
  <c r="M8" i="1" s="1"/>
  <c r="I8" i="1"/>
  <c r="P8" i="1" s="1"/>
  <c r="Q8" i="1" s="1"/>
  <c r="J7" i="1"/>
  <c r="M7" i="1" s="1"/>
  <c r="I7" i="1"/>
  <c r="I5" i="1" s="1"/>
  <c r="P5" i="1" s="1"/>
  <c r="Q5" i="1" s="1"/>
  <c r="J6" i="1"/>
  <c r="N6" i="1" s="1"/>
  <c r="I6" i="1"/>
  <c r="P6" i="1" s="1"/>
  <c r="Q6" i="1" s="1"/>
  <c r="M5" i="1"/>
  <c r="L5" i="1"/>
  <c r="J5" i="1"/>
  <c r="N5" i="1" s="1"/>
  <c r="O31" i="1" l="1"/>
  <c r="K6" i="1"/>
  <c r="L6" i="1"/>
  <c r="N31" i="1"/>
  <c r="M6" i="1"/>
  <c r="O6" i="1"/>
  <c r="K32" i="1"/>
  <c r="P7" i="1"/>
  <c r="Q7" i="1" s="1"/>
  <c r="K18" i="1"/>
  <c r="M32" i="1"/>
  <c r="N32" i="1"/>
  <c r="L37" i="1"/>
  <c r="N37" i="1"/>
  <c r="O37" i="1"/>
  <c r="N15" i="1"/>
  <c r="O15" i="1"/>
  <c r="L38" i="1"/>
  <c r="M15" i="1"/>
  <c r="O38" i="1"/>
  <c r="K9" i="1"/>
  <c r="L9" i="1"/>
  <c r="N9" i="1"/>
  <c r="N25" i="1"/>
  <c r="O9" i="1"/>
  <c r="O25" i="1"/>
  <c r="L14" i="1"/>
  <c r="O23" i="1"/>
  <c r="L26" i="1"/>
  <c r="O7" i="1"/>
  <c r="M14" i="1"/>
  <c r="M26" i="1"/>
  <c r="K5" i="1"/>
  <c r="N14" i="1"/>
  <c r="K17" i="1"/>
  <c r="N26" i="1"/>
  <c r="K37" i="1"/>
  <c r="K7" i="1"/>
  <c r="O14" i="1"/>
  <c r="L17" i="1"/>
  <c r="O26" i="1"/>
  <c r="L23" i="1"/>
  <c r="K24" i="1"/>
  <c r="O5" i="1"/>
  <c r="L8" i="1"/>
  <c r="O17" i="1"/>
  <c r="L24" i="1"/>
  <c r="N23" i="1"/>
  <c r="M24" i="1"/>
  <c r="L7" i="1"/>
  <c r="M23" i="1"/>
  <c r="N7" i="1"/>
  <c r="M17" i="1"/>
  <c r="K8" i="1"/>
  <c r="N8" i="1"/>
  <c r="K15" i="1"/>
  <c r="K31" i="1"/>
  <c r="O8" i="1"/>
  <c r="O24" i="1"/>
  <c r="L31" i="1"/>
  <c r="L25" i="1"/>
  <c r="M25" i="1"/>
</calcChain>
</file>

<file path=xl/sharedStrings.xml><?xml version="1.0" encoding="utf-8"?>
<sst xmlns="http://schemas.openxmlformats.org/spreadsheetml/2006/main" count="115" uniqueCount="63">
  <si>
    <t>100r/min</t>
  </si>
  <si>
    <t>130r/min</t>
  </si>
  <si>
    <t>160r/min</t>
  </si>
  <si>
    <t>190r/min</t>
  </si>
  <si>
    <t>220r/min</t>
  </si>
  <si>
    <t>0.14m/s</t>
  </si>
  <si>
    <t>0.28m/s</t>
  </si>
  <si>
    <t>0.42m/s</t>
  </si>
  <si>
    <t>0.56m/s</t>
  </si>
  <si>
    <t>0.70m/s</t>
  </si>
  <si>
    <t>test data</t>
    <phoneticPr fontId="8" type="noConversion"/>
  </si>
  <si>
    <t>Drum speed change group</t>
    <phoneticPr fontId="8" type="noConversion"/>
  </si>
  <si>
    <t>Experimental group</t>
    <phoneticPr fontId="8" type="noConversion"/>
  </si>
  <si>
    <t>Conveyor belt speed 0.42m/s</t>
    <phoneticPr fontId="8" type="noConversion"/>
  </si>
  <si>
    <t>key metrics</t>
    <phoneticPr fontId="8" type="noConversion"/>
  </si>
  <si>
    <t>Drum Speed</t>
    <phoneticPr fontId="8" type="noConversion"/>
  </si>
  <si>
    <t>Retained Fruit (g)</t>
  </si>
  <si>
    <t>Retained Fruit (g)</t>
    <phoneticPr fontId="8" type="noConversion"/>
  </si>
  <si>
    <t>Ideal Retained Fruit (g)</t>
  </si>
  <si>
    <t>Ideal Retained Fruit (g)</t>
    <phoneticPr fontId="8" type="noConversion"/>
  </si>
  <si>
    <t>Fallen Fruit（g）</t>
  </si>
  <si>
    <t>Fallen Fruit（g）</t>
    <phoneticPr fontId="8" type="noConversion"/>
  </si>
  <si>
    <t>Damaged Fruit（g）</t>
  </si>
  <si>
    <t>Damaged Fruit（g）</t>
    <phoneticPr fontId="8" type="noConversion"/>
  </si>
  <si>
    <t>Impurities（g）</t>
  </si>
  <si>
    <t>Impurities（g）</t>
    <phoneticPr fontId="8" type="noConversion"/>
  </si>
  <si>
    <t>Clean Fruit（g）</t>
  </si>
  <si>
    <t>Clean Fruit（g）</t>
    <phoneticPr fontId="8" type="noConversion"/>
  </si>
  <si>
    <t>Ideal Clean Fruit（g）</t>
  </si>
  <si>
    <t>Ideal Clean Fruit（g）</t>
    <phoneticPr fontId="8" type="noConversion"/>
  </si>
  <si>
    <t>Total Weight（g）</t>
  </si>
  <si>
    <t>Total Weight（g）</t>
    <phoneticPr fontId="8" type="noConversion"/>
  </si>
  <si>
    <t>Fruit Retention Rate (%)</t>
  </si>
  <si>
    <t>Fruit Retention Rate (%)</t>
    <phoneticPr fontId="8" type="noConversion"/>
  </si>
  <si>
    <r>
      <t>Falling Rate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(%)</t>
    </r>
    <phoneticPr fontId="8" type="noConversion"/>
  </si>
  <si>
    <r>
      <t>Damage Rate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(%)</t>
    </r>
    <phoneticPr fontId="8" type="noConversion"/>
  </si>
  <si>
    <r>
      <t>Impurity Content Rate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(%)</t>
    </r>
    <phoneticPr fontId="8" type="noConversion"/>
  </si>
  <si>
    <r>
      <t>Clean Fruit Rate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(%)</t>
    </r>
    <phoneticPr fontId="8" type="noConversion"/>
  </si>
  <si>
    <t>Missing Harvest Rate（%）</t>
  </si>
  <si>
    <t>Missing Harvest Rate（%）</t>
    <phoneticPr fontId="8" type="noConversion"/>
  </si>
  <si>
    <t>Harvest Purity Rate（%）</t>
  </si>
  <si>
    <t>Harvest Purity Rate（%）</t>
    <phoneticPr fontId="8" type="noConversion"/>
  </si>
  <si>
    <t>Falling Rate (%)</t>
  </si>
  <si>
    <t>Damage Rate (%)</t>
  </si>
  <si>
    <t>Impurity Content Rate (%)</t>
  </si>
  <si>
    <t>Clean Fruit Rate (%)</t>
  </si>
  <si>
    <t>Conveyor speed variation group</t>
    <phoneticPr fontId="8" type="noConversion"/>
  </si>
  <si>
    <t>Drum speed 150r/min</t>
    <phoneticPr fontId="8" type="noConversion"/>
  </si>
  <si>
    <t>Conveyor speed</t>
    <phoneticPr fontId="8" type="noConversion"/>
  </si>
  <si>
    <t>Shumi Group</t>
    <phoneticPr fontId="8" type="noConversion"/>
  </si>
  <si>
    <t>Drum speed: 150r/min Conveyor belt speed: 0.42m/s</t>
    <phoneticPr fontId="8" type="noConversion"/>
  </si>
  <si>
    <t>group</t>
    <phoneticPr fontId="8" type="noConversion"/>
  </si>
  <si>
    <t>High and low groups</t>
    <phoneticPr fontId="8" type="noConversion"/>
  </si>
  <si>
    <t>Drum speed: 210r/s -100r/s Conveyor belt speed: 0.7m/s -0.14m/s</t>
    <phoneticPr fontId="8" type="noConversion"/>
  </si>
  <si>
    <t>Extreme group</t>
    <phoneticPr fontId="8" type="noConversion"/>
  </si>
  <si>
    <t>Plant height</t>
    <phoneticPr fontId="8" type="noConversion"/>
  </si>
  <si>
    <t>Plant low</t>
    <phoneticPr fontId="8" type="noConversion"/>
  </si>
  <si>
    <t>Height height 220r/s-0.7m/s</t>
    <phoneticPr fontId="8" type="noConversion"/>
  </si>
  <si>
    <t>Low low 100r/s-0.14m/s</t>
    <phoneticPr fontId="8" type="noConversion"/>
  </si>
  <si>
    <t>Dense-sparse-dense</t>
    <phoneticPr fontId="8" type="noConversion"/>
  </si>
  <si>
    <t>Sparse-dense-sparse</t>
    <phoneticPr fontId="8" type="noConversion"/>
  </si>
  <si>
    <t>Full dense</t>
    <phoneticPr fontId="8" type="noConversion"/>
  </si>
  <si>
    <t>Full sparse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</si>
</sst>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_ "/>
    <numFmt numFmtId="179" formatCode="0.000%"/>
  </numFmts>
  <fonts count="9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28"/>
      <color theme="1"/>
      <name val="方正公文小标宋"/>
      <charset val="134"/>
    </font>
    <font>
      <sz val="14"/>
      <color theme="1"/>
      <name val="方正楷体_GBK"/>
      <charset val="134"/>
    </font>
    <font>
      <sz val="14"/>
      <color rgb="FFFF0000"/>
      <name val="方正楷体_GBK"/>
      <charset val="134"/>
    </font>
    <font>
      <sz val="14"/>
      <name val="方正楷体_GBK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0"/>
  <sheetViews>
    <sheetView tabSelected="1" zoomScale="85" zoomScaleNormal="85" workbookViewId="0">
      <selection activeCell="I18" sqref="I18"/>
    </sheetView>
  </sheetViews>
  <sheetFormatPr defaultColWidth="8.875" defaultRowHeight="13.5"/>
  <cols>
    <col min="1" max="1" width="23.625" style="1" customWidth="1"/>
    <col min="2" max="2" width="12.5" style="1" customWidth="1"/>
    <col min="3" max="3" width="11.125" style="2" customWidth="1"/>
    <col min="4" max="4" width="12.125" style="3" customWidth="1"/>
    <col min="5" max="5" width="12" style="3" customWidth="1"/>
    <col min="6" max="7" width="11.5" style="1" customWidth="1"/>
    <col min="8" max="8" width="12.75" style="2" customWidth="1"/>
    <col min="9" max="9" width="16.5" style="1" customWidth="1"/>
    <col min="10" max="10" width="11.625" style="1" customWidth="1"/>
    <col min="11" max="11" width="11.5" style="1" customWidth="1"/>
    <col min="12" max="12" width="13.625" style="1" customWidth="1"/>
    <col min="13" max="13" width="13.25" style="1" customWidth="1"/>
    <col min="14" max="14" width="12.75" style="1" customWidth="1"/>
    <col min="15" max="15" width="12.125" style="1" customWidth="1"/>
    <col min="16" max="17" width="12.625"/>
    <col min="19" max="19" width="14" customWidth="1"/>
  </cols>
  <sheetData>
    <row r="1" spans="1:19" ht="45" customHeight="1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9" ht="18.75">
      <c r="A2" s="13" t="s">
        <v>12</v>
      </c>
      <c r="B2" s="13" t="s">
        <v>11</v>
      </c>
      <c r="C2" s="14"/>
      <c r="D2" s="15"/>
      <c r="E2" s="15"/>
      <c r="F2" s="13"/>
      <c r="G2" s="13"/>
      <c r="H2" s="14"/>
      <c r="I2" s="13"/>
      <c r="J2" s="13"/>
      <c r="K2" s="13" t="s">
        <v>14</v>
      </c>
      <c r="L2" s="13"/>
      <c r="M2" s="13"/>
      <c r="N2" s="13"/>
      <c r="O2" s="13"/>
      <c r="P2" s="13"/>
      <c r="Q2" s="13"/>
    </row>
    <row r="3" spans="1:19" ht="18.75">
      <c r="A3" s="13"/>
      <c r="B3" s="13" t="s">
        <v>13</v>
      </c>
      <c r="C3" s="14"/>
      <c r="D3" s="15"/>
      <c r="E3" s="15"/>
      <c r="F3" s="13"/>
      <c r="G3" s="13"/>
      <c r="H3" s="14"/>
      <c r="I3" s="13"/>
      <c r="J3" s="13"/>
      <c r="K3" s="13"/>
      <c r="L3" s="13"/>
      <c r="M3" s="13"/>
      <c r="N3" s="13"/>
      <c r="O3" s="13"/>
      <c r="P3" s="13"/>
      <c r="Q3" s="13"/>
    </row>
    <row r="4" spans="1:19" ht="23.1" customHeight="1">
      <c r="A4" s="13"/>
      <c r="B4" s="17" t="s">
        <v>15</v>
      </c>
      <c r="C4" s="2" t="s">
        <v>17</v>
      </c>
      <c r="D4" s="3" t="s">
        <v>19</v>
      </c>
      <c r="E4" s="3" t="s">
        <v>21</v>
      </c>
      <c r="F4" s="17" t="s">
        <v>23</v>
      </c>
      <c r="G4" s="17" t="s">
        <v>25</v>
      </c>
      <c r="H4" s="2" t="s">
        <v>27</v>
      </c>
      <c r="I4" s="17" t="s">
        <v>29</v>
      </c>
      <c r="J4" s="17" t="s">
        <v>31</v>
      </c>
      <c r="K4" s="17" t="s">
        <v>33</v>
      </c>
      <c r="L4" s="17" t="s">
        <v>34</v>
      </c>
      <c r="M4" s="17" t="s">
        <v>35</v>
      </c>
      <c r="N4" s="17" t="s">
        <v>36</v>
      </c>
      <c r="O4" s="17" t="s">
        <v>37</v>
      </c>
      <c r="P4" s="17" t="s">
        <v>39</v>
      </c>
      <c r="Q4" s="17" t="s">
        <v>41</v>
      </c>
      <c r="S4" s="16"/>
    </row>
    <row r="5" spans="1:19" ht="53.1" customHeight="1">
      <c r="A5" s="1">
        <v>1</v>
      </c>
      <c r="B5" s="1" t="s">
        <v>0</v>
      </c>
      <c r="C5" s="4">
        <v>500</v>
      </c>
      <c r="D5" s="3">
        <v>50</v>
      </c>
      <c r="E5" s="3">
        <v>1534.5</v>
      </c>
      <c r="F5" s="1">
        <v>101.7</v>
      </c>
      <c r="G5" s="1">
        <v>313.8</v>
      </c>
      <c r="H5" s="2">
        <v>3624.3</v>
      </c>
      <c r="I5" s="1">
        <f>(C5-D5)+I7</f>
        <v>4578.8999999999996</v>
      </c>
      <c r="J5" s="1">
        <f>SUM(C5:H5)</f>
        <v>6124.3</v>
      </c>
      <c r="K5" s="9">
        <f>D5/J5</f>
        <v>8.164198357363291E-3</v>
      </c>
      <c r="L5" s="9">
        <f>E5/J5</f>
        <v>0.25055924758747938</v>
      </c>
      <c r="M5" s="9">
        <f>F5/J5</f>
        <v>1.6605979458876933E-2</v>
      </c>
      <c r="N5" s="9">
        <f>G5/J5</f>
        <v>5.123850889081201E-2</v>
      </c>
      <c r="O5" s="9">
        <f>I5/J5</f>
        <v>0.74766095717061531</v>
      </c>
      <c r="P5" s="10">
        <f>D5/I5</f>
        <v>1.0919653191814628E-2</v>
      </c>
      <c r="Q5" s="10">
        <f>1-P5</f>
        <v>0.98908034680818535</v>
      </c>
    </row>
    <row r="6" spans="1:19" ht="53.1" customHeight="1">
      <c r="A6" s="1">
        <v>2</v>
      </c>
      <c r="B6" s="1" t="s">
        <v>1</v>
      </c>
      <c r="C6" s="4">
        <v>718</v>
      </c>
      <c r="D6" s="3">
        <v>71.8</v>
      </c>
      <c r="E6" s="3">
        <v>1588.4</v>
      </c>
      <c r="F6" s="1">
        <v>173.5</v>
      </c>
      <c r="G6" s="1">
        <v>571.29999999999995</v>
      </c>
      <c r="H6" s="2">
        <v>3538.2</v>
      </c>
      <c r="I6" s="1">
        <f>(C6-D6)+H6</f>
        <v>4184.3999999999996</v>
      </c>
      <c r="J6" s="1">
        <f>SUM(C6:H6)</f>
        <v>6661.2</v>
      </c>
      <c r="K6" s="9">
        <f>D6/J6</f>
        <v>1.0778838647691106E-2</v>
      </c>
      <c r="L6" s="9">
        <f>E6/J6</f>
        <v>0.23845553353750076</v>
      </c>
      <c r="M6" s="9">
        <f>F6/J6</f>
        <v>2.6046358013571129E-2</v>
      </c>
      <c r="N6" s="9">
        <f>G6/J6</f>
        <v>8.5765327568606248E-2</v>
      </c>
      <c r="O6" s="9">
        <f>I6/J6</f>
        <v>0.62817510358493966</v>
      </c>
      <c r="P6" s="10">
        <f>D6/I6</f>
        <v>1.7158971417646496E-2</v>
      </c>
      <c r="Q6" s="10">
        <f>1-P6</f>
        <v>0.98284102858235345</v>
      </c>
    </row>
    <row r="7" spans="1:19" ht="51.95" customHeight="1">
      <c r="A7" s="1">
        <v>3</v>
      </c>
      <c r="B7" s="1" t="s">
        <v>2</v>
      </c>
      <c r="C7" s="2">
        <v>198.5</v>
      </c>
      <c r="D7" s="3">
        <v>19.8</v>
      </c>
      <c r="E7" s="3">
        <v>1253.8</v>
      </c>
      <c r="F7" s="1">
        <v>224.7</v>
      </c>
      <c r="G7" s="1">
        <v>812.3</v>
      </c>
      <c r="H7" s="2">
        <v>3950.2</v>
      </c>
      <c r="I7" s="1">
        <f>(C7-D7)+H7</f>
        <v>4128.8999999999996</v>
      </c>
      <c r="J7" s="1">
        <f>SUM(C7:H7)</f>
        <v>6459.2999999999993</v>
      </c>
      <c r="K7" s="9">
        <f>D7/J7</f>
        <v>3.0653476382889793E-3</v>
      </c>
      <c r="L7" s="9">
        <f>E7/J7</f>
        <v>0.19410772065084453</v>
      </c>
      <c r="M7" s="9">
        <f>F7/J7</f>
        <v>3.4787051228461291E-2</v>
      </c>
      <c r="N7" s="9">
        <f>G7/J7</f>
        <v>0.1257566609384918</v>
      </c>
      <c r="O7" s="9">
        <f>I7/J7</f>
        <v>0.63921787190562451</v>
      </c>
      <c r="P7" s="10">
        <f>D7/I7</f>
        <v>4.7954661047736689E-3</v>
      </c>
      <c r="Q7" s="10">
        <f>1-P7</f>
        <v>0.99520453389522634</v>
      </c>
    </row>
    <row r="8" spans="1:19" ht="47.1" customHeight="1">
      <c r="A8" s="1">
        <v>4</v>
      </c>
      <c r="B8" s="1" t="s">
        <v>3</v>
      </c>
      <c r="C8" s="4">
        <v>300</v>
      </c>
      <c r="D8" s="3">
        <v>30</v>
      </c>
      <c r="E8" s="3">
        <v>1570.3</v>
      </c>
      <c r="F8" s="1">
        <v>387.8</v>
      </c>
      <c r="G8" s="1">
        <v>1382.6</v>
      </c>
      <c r="H8" s="2">
        <v>3415</v>
      </c>
      <c r="I8" s="1">
        <f>(C8-D8)+H8</f>
        <v>3685</v>
      </c>
      <c r="J8" s="1">
        <f>SUM(C8:H8)</f>
        <v>7085.7</v>
      </c>
      <c r="K8" s="9">
        <f>D8/J8</f>
        <v>4.2338795037893222E-3</v>
      </c>
      <c r="L8" s="9">
        <f>E8/J8</f>
        <v>0.22161536616001243</v>
      </c>
      <c r="M8" s="9">
        <f>F8/J8</f>
        <v>5.4729949052316644E-2</v>
      </c>
      <c r="N8" s="9">
        <f>G8/J8</f>
        <v>0.19512539339797055</v>
      </c>
      <c r="O8" s="9">
        <f>I8/J8</f>
        <v>0.52006153238212172</v>
      </c>
      <c r="P8" s="10">
        <f>D8/I8</f>
        <v>8.1411126187245584E-3</v>
      </c>
      <c r="Q8" s="10">
        <f>1-P8</f>
        <v>0.99185888738127548</v>
      </c>
    </row>
    <row r="9" spans="1:19" ht="51" customHeight="1">
      <c r="A9" s="1">
        <v>5</v>
      </c>
      <c r="B9" s="1" t="s">
        <v>4</v>
      </c>
      <c r="C9" s="2">
        <v>194.1</v>
      </c>
      <c r="D9" s="3">
        <v>19.41</v>
      </c>
      <c r="E9" s="3">
        <v>1349.5</v>
      </c>
      <c r="F9" s="1">
        <v>542.1</v>
      </c>
      <c r="G9" s="5">
        <v>1381</v>
      </c>
      <c r="H9" s="2">
        <v>3200.3</v>
      </c>
      <c r="I9" s="1">
        <f>(C9-D9)+H9</f>
        <v>3374.9900000000002</v>
      </c>
      <c r="J9" s="1">
        <f>SUM(C9:H9)</f>
        <v>6686.41</v>
      </c>
      <c r="K9" s="9">
        <f>D9/J9</f>
        <v>2.9029030526096966E-3</v>
      </c>
      <c r="L9" s="9">
        <f>E9/J9</f>
        <v>0.20182728848515122</v>
      </c>
      <c r="M9" s="9">
        <f>F9/J9</f>
        <v>8.107489669344238E-2</v>
      </c>
      <c r="N9" s="9">
        <f>G9/J9</f>
        <v>0.20653833671581612</v>
      </c>
      <c r="O9" s="9">
        <f>I9/J9</f>
        <v>0.50475367200037091</v>
      </c>
      <c r="P9" s="10">
        <f>D9/I9</f>
        <v>5.7511281514908185E-3</v>
      </c>
      <c r="Q9" s="10">
        <f>1-P9</f>
        <v>0.99424887184850919</v>
      </c>
    </row>
    <row r="10" spans="1:19" ht="21.95" customHeight="1"/>
    <row r="11" spans="1:19" ht="18.75">
      <c r="B11" s="13" t="s">
        <v>46</v>
      </c>
      <c r="C11" s="14"/>
      <c r="D11" s="15"/>
      <c r="E11" s="15"/>
      <c r="F11" s="13"/>
      <c r="G11" s="13"/>
      <c r="H11" s="14"/>
      <c r="I11" s="13"/>
      <c r="J11" s="13"/>
      <c r="K11" s="13" t="s">
        <v>14</v>
      </c>
      <c r="L11" s="13"/>
      <c r="M11" s="13"/>
      <c r="N11" s="13"/>
      <c r="O11" s="13"/>
      <c r="P11" s="13"/>
      <c r="Q11" s="13"/>
    </row>
    <row r="12" spans="1:19" ht="18.75">
      <c r="B12" s="13" t="s">
        <v>47</v>
      </c>
      <c r="C12" s="14"/>
      <c r="D12" s="15"/>
      <c r="E12" s="15"/>
      <c r="F12" s="13"/>
      <c r="G12" s="13"/>
      <c r="H12" s="14"/>
      <c r="I12" s="13"/>
      <c r="J12" s="13"/>
      <c r="K12" s="13"/>
      <c r="L12" s="13"/>
      <c r="M12" s="13"/>
      <c r="N12" s="13"/>
      <c r="O12" s="13"/>
      <c r="P12" s="13"/>
      <c r="Q12" s="13"/>
    </row>
    <row r="13" spans="1:19" ht="26.1" customHeight="1">
      <c r="B13" s="17" t="s">
        <v>48</v>
      </c>
      <c r="C13" s="2" t="s">
        <v>16</v>
      </c>
      <c r="D13" s="3" t="s">
        <v>18</v>
      </c>
      <c r="E13" s="3" t="s">
        <v>20</v>
      </c>
      <c r="F13" s="1" t="s">
        <v>22</v>
      </c>
      <c r="G13" s="1" t="s">
        <v>24</v>
      </c>
      <c r="H13" s="2" t="s">
        <v>26</v>
      </c>
      <c r="I13" s="1" t="s">
        <v>28</v>
      </c>
      <c r="J13" s="1" t="s">
        <v>30</v>
      </c>
      <c r="K13" s="1" t="s">
        <v>32</v>
      </c>
      <c r="L13" s="1" t="s">
        <v>42</v>
      </c>
      <c r="M13" s="1" t="s">
        <v>43</v>
      </c>
      <c r="N13" s="1" t="s">
        <v>44</v>
      </c>
      <c r="O13" s="1" t="s">
        <v>45</v>
      </c>
      <c r="P13" s="1" t="s">
        <v>38</v>
      </c>
      <c r="Q13" s="1" t="s">
        <v>40</v>
      </c>
    </row>
    <row r="14" spans="1:19" ht="44.1" customHeight="1">
      <c r="A14" s="1">
        <v>6</v>
      </c>
      <c r="B14" s="1" t="s">
        <v>5</v>
      </c>
      <c r="C14" s="2">
        <v>112.4</v>
      </c>
      <c r="D14" s="3">
        <v>11.24</v>
      </c>
      <c r="E14" s="3">
        <v>1427.8</v>
      </c>
      <c r="F14" s="5">
        <v>215</v>
      </c>
      <c r="G14" s="5">
        <v>1103</v>
      </c>
      <c r="H14" s="2">
        <v>3386.4</v>
      </c>
      <c r="I14" s="1">
        <f>(C14-D14)+H14</f>
        <v>3487.56</v>
      </c>
      <c r="J14" s="1">
        <f>SUM(C14:H14)</f>
        <v>6255.84</v>
      </c>
      <c r="K14" s="9">
        <f t="shared" ref="K14:K32" si="0">D14/J14</f>
        <v>1.7967211437632676E-3</v>
      </c>
      <c r="L14" s="9">
        <f>E14/J14</f>
        <v>0.22823473746131615</v>
      </c>
      <c r="M14" s="9">
        <f>F14/J14</f>
        <v>3.4367886646717305E-2</v>
      </c>
      <c r="N14" s="9">
        <f>G14/J14</f>
        <v>0.1763152510294381</v>
      </c>
      <c r="O14" s="9">
        <f>I14/J14</f>
        <v>0.55748868257500195</v>
      </c>
      <c r="P14" s="10">
        <f t="shared" ref="P14:P18" si="1">D14/I14</f>
        <v>3.2228836206402186E-3</v>
      </c>
      <c r="Q14" s="10">
        <f t="shared" ref="Q14:Q18" si="2">1-P14</f>
        <v>0.99677711637935973</v>
      </c>
    </row>
    <row r="15" spans="1:19" ht="44.1" customHeight="1">
      <c r="A15" s="1">
        <v>7</v>
      </c>
      <c r="B15" s="1" t="s">
        <v>6</v>
      </c>
      <c r="C15" s="2">
        <v>193.7</v>
      </c>
      <c r="D15" s="3">
        <v>19.37</v>
      </c>
      <c r="E15" s="3">
        <v>1459.5</v>
      </c>
      <c r="F15" s="1">
        <v>204.2</v>
      </c>
      <c r="G15" s="1">
        <v>1016.9</v>
      </c>
      <c r="H15" s="2">
        <v>3306.9</v>
      </c>
      <c r="I15" s="1">
        <f>(C15-D15)+H15</f>
        <v>3481.23</v>
      </c>
      <c r="J15" s="1">
        <f>SUM(C15:H15)</f>
        <v>6200.57</v>
      </c>
      <c r="K15" s="9">
        <f t="shared" si="0"/>
        <v>3.1239063505451919E-3</v>
      </c>
      <c r="L15" s="9">
        <f>E15/J15</f>
        <v>0.23538158588645883</v>
      </c>
      <c r="M15" s="9">
        <f>F15/J15</f>
        <v>3.2932456209671043E-2</v>
      </c>
      <c r="N15" s="9">
        <f>G15/J15</f>
        <v>0.16400105151623157</v>
      </c>
      <c r="O15" s="9">
        <f>I15/J15</f>
        <v>0.56143709368654815</v>
      </c>
      <c r="P15" s="10">
        <f t="shared" si="1"/>
        <v>5.5641253235207098E-3</v>
      </c>
      <c r="Q15" s="10">
        <f t="shared" si="2"/>
        <v>0.99443587467647931</v>
      </c>
    </row>
    <row r="16" spans="1:19" ht="47.1" customHeight="1">
      <c r="A16" s="1">
        <v>8</v>
      </c>
      <c r="B16" s="1" t="s">
        <v>7</v>
      </c>
      <c r="C16" s="2">
        <v>245.1</v>
      </c>
      <c r="D16" s="3">
        <v>24.51</v>
      </c>
      <c r="E16" s="3">
        <v>1142.4000000000001</v>
      </c>
      <c r="F16" s="1">
        <v>152.30000000000001</v>
      </c>
      <c r="G16" s="1">
        <v>1081.3</v>
      </c>
      <c r="H16" s="2">
        <v>4378.5</v>
      </c>
      <c r="I16" s="1">
        <f>(C16-D16)+H16</f>
        <v>4599.09</v>
      </c>
      <c r="J16" s="1">
        <f>SUM(C16:H16)</f>
        <v>7024.1100000000006</v>
      </c>
      <c r="K16" s="9">
        <f t="shared" si="0"/>
        <v>3.4894100462549704E-3</v>
      </c>
      <c r="L16" s="9">
        <f>E16/J16</f>
        <v>0.16263982198456459</v>
      </c>
      <c r="M16" s="9">
        <f>F16/J16</f>
        <v>2.1682462262122889E-2</v>
      </c>
      <c r="N16" s="9">
        <f>G16/J16</f>
        <v>0.1539412110573439</v>
      </c>
      <c r="O16" s="9">
        <f>I16/J16</f>
        <v>0.65475768460345862</v>
      </c>
      <c r="P16" s="10">
        <f t="shared" si="1"/>
        <v>5.3293151471269316E-3</v>
      </c>
      <c r="Q16" s="10">
        <f t="shared" si="2"/>
        <v>0.99467068485287302</v>
      </c>
    </row>
    <row r="17" spans="1:17" ht="45.95" customHeight="1">
      <c r="A17" s="1">
        <v>9</v>
      </c>
      <c r="B17" s="1" t="s">
        <v>8</v>
      </c>
      <c r="C17" s="2">
        <v>423.9</v>
      </c>
      <c r="D17" s="3">
        <v>42.39</v>
      </c>
      <c r="E17" s="3">
        <v>1233.9000000000001</v>
      </c>
      <c r="F17" s="1">
        <v>133.9</v>
      </c>
      <c r="G17" s="1">
        <v>536.20000000000005</v>
      </c>
      <c r="H17" s="2">
        <v>2897.1</v>
      </c>
      <c r="I17" s="1">
        <f>(C17-D17)+H17</f>
        <v>3278.6099999999997</v>
      </c>
      <c r="J17" s="1">
        <f>SUM(C17:H17)</f>
        <v>5267.3899999999994</v>
      </c>
      <c r="K17" s="9">
        <f t="shared" si="0"/>
        <v>8.0476289016002244E-3</v>
      </c>
      <c r="L17" s="9">
        <f>E17/J17</f>
        <v>0.23425263745422309</v>
      </c>
      <c r="M17" s="9">
        <f>F17/J17</f>
        <v>2.5420559328244163E-2</v>
      </c>
      <c r="N17" s="9">
        <f>G17/J17</f>
        <v>0.1017961457192272</v>
      </c>
      <c r="O17" s="9">
        <f>I17/J17</f>
        <v>0.6224353996951052</v>
      </c>
      <c r="P17" s="10">
        <f t="shared" si="1"/>
        <v>1.2929259655768757E-2</v>
      </c>
      <c r="Q17" s="10">
        <f t="shared" si="2"/>
        <v>0.98707074034423126</v>
      </c>
    </row>
    <row r="18" spans="1:17" ht="57" customHeight="1">
      <c r="A18" s="1">
        <v>10</v>
      </c>
      <c r="B18" s="1" t="s">
        <v>9</v>
      </c>
      <c r="C18" s="2">
        <v>629.20000000000005</v>
      </c>
      <c r="D18" s="3">
        <v>62.92</v>
      </c>
      <c r="E18" s="3">
        <v>1504.9</v>
      </c>
      <c r="F18" s="1">
        <v>291.10000000000002</v>
      </c>
      <c r="G18" s="1">
        <v>1073.5</v>
      </c>
      <c r="H18" s="2">
        <v>4099.6000000000004</v>
      </c>
      <c r="I18" s="1">
        <f>(C18-D18)+H18</f>
        <v>4665.88</v>
      </c>
      <c r="J18" s="1">
        <f>SUM(C18:H18)</f>
        <v>7661.22</v>
      </c>
      <c r="K18" s="9">
        <f t="shared" si="0"/>
        <v>8.2127911742516206E-3</v>
      </c>
      <c r="L18" s="9">
        <f>E18/J18</f>
        <v>0.1964308556600646</v>
      </c>
      <c r="M18" s="9">
        <f>F18/J18</f>
        <v>3.7996559294733737E-2</v>
      </c>
      <c r="N18" s="9">
        <f>G18/J18</f>
        <v>0.14012128616591091</v>
      </c>
      <c r="O18" s="9">
        <f>I18/J18</f>
        <v>0.60902571653078752</v>
      </c>
      <c r="P18" s="10">
        <f t="shared" si="1"/>
        <v>1.3485130350544806E-2</v>
      </c>
      <c r="Q18" s="10">
        <f t="shared" si="2"/>
        <v>0.98651486964945523</v>
      </c>
    </row>
    <row r="20" spans="1:17" ht="18.75">
      <c r="B20" s="13" t="s">
        <v>49</v>
      </c>
      <c r="C20" s="14"/>
      <c r="D20" s="15"/>
      <c r="E20" s="15"/>
      <c r="F20" s="13"/>
      <c r="G20" s="13"/>
      <c r="H20" s="14"/>
      <c r="I20" s="13"/>
      <c r="J20" s="13"/>
      <c r="K20" s="13" t="s">
        <v>14</v>
      </c>
      <c r="L20" s="13"/>
      <c r="M20" s="13"/>
      <c r="N20" s="13"/>
      <c r="O20" s="13"/>
      <c r="P20" s="13"/>
      <c r="Q20" s="13"/>
    </row>
    <row r="21" spans="1:17" ht="18.75">
      <c r="B21" s="13" t="s">
        <v>50</v>
      </c>
      <c r="C21" s="14"/>
      <c r="D21" s="15"/>
      <c r="E21" s="15"/>
      <c r="F21" s="13"/>
      <c r="G21" s="13"/>
      <c r="H21" s="14"/>
      <c r="I21" s="13"/>
      <c r="J21" s="13"/>
      <c r="K21" s="13"/>
      <c r="L21" s="13"/>
      <c r="M21" s="13"/>
      <c r="N21" s="13"/>
      <c r="O21" s="13"/>
      <c r="P21" s="13"/>
      <c r="Q21" s="13"/>
    </row>
    <row r="22" spans="1:17" ht="18" customHeight="1">
      <c r="B22" s="17" t="s">
        <v>51</v>
      </c>
      <c r="C22" s="2" t="s">
        <v>16</v>
      </c>
      <c r="D22" s="3" t="s">
        <v>18</v>
      </c>
      <c r="E22" s="3" t="s">
        <v>20</v>
      </c>
      <c r="F22" s="1" t="s">
        <v>22</v>
      </c>
      <c r="G22" s="1" t="s">
        <v>24</v>
      </c>
      <c r="H22" s="2" t="s">
        <v>26</v>
      </c>
      <c r="I22" s="1" t="s">
        <v>28</v>
      </c>
      <c r="J22" s="1" t="s">
        <v>30</v>
      </c>
      <c r="K22" s="1" t="s">
        <v>32</v>
      </c>
      <c r="L22" s="1" t="s">
        <v>42</v>
      </c>
      <c r="M22" s="1" t="s">
        <v>43</v>
      </c>
      <c r="N22" s="1" t="s">
        <v>44</v>
      </c>
      <c r="O22" s="1" t="s">
        <v>45</v>
      </c>
      <c r="P22" s="1" t="s">
        <v>38</v>
      </c>
      <c r="Q22" s="1" t="s">
        <v>40</v>
      </c>
    </row>
    <row r="23" spans="1:17" ht="53.1" customHeight="1">
      <c r="A23" s="1">
        <v>11</v>
      </c>
      <c r="B23" s="17" t="s">
        <v>59</v>
      </c>
      <c r="C23" s="2">
        <v>313.10000000000002</v>
      </c>
      <c r="D23" s="6">
        <v>31.31</v>
      </c>
      <c r="E23" s="6">
        <v>1100</v>
      </c>
      <c r="F23" s="5">
        <v>500</v>
      </c>
      <c r="G23" s="1">
        <v>1102.3</v>
      </c>
      <c r="H23" s="2">
        <v>4538.8999999999996</v>
      </c>
      <c r="I23" s="1">
        <f>(C23-D23)+H23</f>
        <v>4820.6899999999996</v>
      </c>
      <c r="J23" s="1">
        <f>SUM(C23:H23)</f>
        <v>7585.61</v>
      </c>
      <c r="K23" s="9">
        <f t="shared" si="0"/>
        <v>4.1275520360261071E-3</v>
      </c>
      <c r="L23" s="9">
        <f>E23/J23</f>
        <v>0.14501140976137714</v>
      </c>
      <c r="M23" s="9">
        <f>F23/J23</f>
        <v>6.5914277164262333E-2</v>
      </c>
      <c r="N23" s="9">
        <f>G23/J23</f>
        <v>0.14531461543633273</v>
      </c>
      <c r="O23" s="9">
        <f>I23/J23</f>
        <v>0.63550459356597555</v>
      </c>
      <c r="P23" s="10">
        <f>D23/I23</f>
        <v>6.4949208515793387E-3</v>
      </c>
      <c r="Q23" s="10">
        <f t="shared" ref="Q23:Q26" si="3">1-P23</f>
        <v>0.99350507914842068</v>
      </c>
    </row>
    <row r="24" spans="1:17" ht="50.1" customHeight="1">
      <c r="A24" s="1">
        <v>12</v>
      </c>
      <c r="B24" s="17" t="s">
        <v>60</v>
      </c>
      <c r="C24" s="2">
        <v>123.6</v>
      </c>
      <c r="D24" s="3">
        <v>12.36</v>
      </c>
      <c r="E24" s="3">
        <v>1002.1</v>
      </c>
      <c r="F24" s="1">
        <v>269.39999999999998</v>
      </c>
      <c r="G24" s="1">
        <v>786.9</v>
      </c>
      <c r="H24" s="2">
        <v>2855.1</v>
      </c>
      <c r="I24" s="1">
        <f>(C24-D24)+H24</f>
        <v>2966.3399999999997</v>
      </c>
      <c r="J24" s="1">
        <f>SUM(C24:H24)</f>
        <v>5049.46</v>
      </c>
      <c r="K24" s="9">
        <f t="shared" si="0"/>
        <v>2.4477864959817483E-3</v>
      </c>
      <c r="L24" s="9">
        <f>E24/J24</f>
        <v>0.19845686469444257</v>
      </c>
      <c r="M24" s="9">
        <f>F24/J24</f>
        <v>5.3352239645427429E-2</v>
      </c>
      <c r="N24" s="9">
        <f>G24/J24</f>
        <v>0.15583844609126521</v>
      </c>
      <c r="O24" s="9">
        <f>I24/J24</f>
        <v>0.58745687657690127</v>
      </c>
      <c r="P24" s="10">
        <f>D24/I24</f>
        <v>4.1667509456097419E-3</v>
      </c>
      <c r="Q24" s="10">
        <f t="shared" si="3"/>
        <v>0.9958332490543903</v>
      </c>
    </row>
    <row r="25" spans="1:17" ht="51.95" customHeight="1">
      <c r="A25" s="1">
        <v>13</v>
      </c>
      <c r="B25" s="17" t="s">
        <v>61</v>
      </c>
      <c r="C25" s="2">
        <v>503.3</v>
      </c>
      <c r="D25" s="3">
        <v>50.33</v>
      </c>
      <c r="E25" s="3">
        <v>1718.7</v>
      </c>
      <c r="F25" s="1">
        <v>375.2</v>
      </c>
      <c r="G25" s="1">
        <v>1204.3</v>
      </c>
      <c r="H25" s="2">
        <v>5307.2</v>
      </c>
      <c r="I25" s="1">
        <f>(C25-D25)+H25</f>
        <v>5760.17</v>
      </c>
      <c r="J25" s="1">
        <f>SUM(C25:H25)</f>
        <v>9159.0299999999988</v>
      </c>
      <c r="K25" s="9">
        <f t="shared" si="0"/>
        <v>5.4951233918875695E-3</v>
      </c>
      <c r="L25" s="9">
        <f>E25/J25</f>
        <v>0.18765087569316841</v>
      </c>
      <c r="M25" s="9">
        <f>F25/J25</f>
        <v>4.0965036690566579E-2</v>
      </c>
      <c r="N25" s="9">
        <f>G25/J25</f>
        <v>0.13148772304490761</v>
      </c>
      <c r="O25" s="9">
        <f>I25/J25</f>
        <v>0.62890611778758243</v>
      </c>
      <c r="P25" s="10">
        <f>D25/I25</f>
        <v>8.7375893419812251E-3</v>
      </c>
      <c r="Q25" s="10">
        <f t="shared" si="3"/>
        <v>0.99126241065801879</v>
      </c>
    </row>
    <row r="26" spans="1:17" ht="48.95" customHeight="1">
      <c r="A26" s="1">
        <v>14</v>
      </c>
      <c r="B26" s="17" t="s">
        <v>62</v>
      </c>
      <c r="C26" s="2">
        <v>116.3</v>
      </c>
      <c r="D26" s="3">
        <v>11.63</v>
      </c>
      <c r="E26" s="3">
        <v>819.3</v>
      </c>
      <c r="F26" s="1">
        <v>194.8</v>
      </c>
      <c r="G26" s="1">
        <v>48.8</v>
      </c>
      <c r="H26" s="2">
        <v>1535.7</v>
      </c>
      <c r="I26" s="1">
        <f>(C26-D26)+H26</f>
        <v>1640.3700000000001</v>
      </c>
      <c r="J26" s="1">
        <f>SUM(C26:H26)</f>
        <v>2726.5299999999997</v>
      </c>
      <c r="K26" s="9">
        <f t="shared" si="0"/>
        <v>4.2654949697967758E-3</v>
      </c>
      <c r="L26" s="9">
        <f>E26/J26</f>
        <v>0.30049183394277712</v>
      </c>
      <c r="M26" s="9">
        <f>F26/J26</f>
        <v>7.1446123827722433E-2</v>
      </c>
      <c r="N26" s="9">
        <f>G26/J26</f>
        <v>1.7898207611872968E-2</v>
      </c>
      <c r="O26" s="9">
        <f>I26/J26</f>
        <v>0.60163284467803413</v>
      </c>
      <c r="P26" s="10">
        <f>D26/I26</f>
        <v>7.0898638721751802E-3</v>
      </c>
      <c r="Q26" s="10">
        <f t="shared" si="3"/>
        <v>0.99291013612782486</v>
      </c>
    </row>
    <row r="28" spans="1:17" ht="18.75">
      <c r="B28" s="13" t="s">
        <v>52</v>
      </c>
      <c r="C28" s="14"/>
      <c r="D28" s="15"/>
      <c r="E28" s="15"/>
      <c r="F28" s="13"/>
      <c r="G28" s="13"/>
      <c r="H28" s="14"/>
      <c r="I28" s="13"/>
      <c r="J28" s="13"/>
      <c r="K28" s="13" t="s">
        <v>14</v>
      </c>
      <c r="L28" s="13"/>
      <c r="M28" s="13"/>
      <c r="N28" s="13"/>
      <c r="O28" s="13"/>
      <c r="P28" s="13"/>
      <c r="Q28" s="13"/>
    </row>
    <row r="29" spans="1:17" ht="18.75">
      <c r="B29" s="13" t="s">
        <v>50</v>
      </c>
      <c r="C29" s="14"/>
      <c r="D29" s="15"/>
      <c r="E29" s="15"/>
      <c r="F29" s="13"/>
      <c r="G29" s="13"/>
      <c r="H29" s="14"/>
      <c r="I29" s="13"/>
      <c r="J29" s="13"/>
      <c r="K29" s="13"/>
      <c r="L29" s="13"/>
      <c r="M29" s="13"/>
      <c r="N29" s="13"/>
      <c r="O29" s="13"/>
      <c r="P29" s="13"/>
      <c r="Q29" s="13"/>
    </row>
    <row r="30" spans="1:17" ht="18" customHeight="1">
      <c r="B30" s="17" t="s">
        <v>51</v>
      </c>
      <c r="C30" s="2" t="s">
        <v>16</v>
      </c>
      <c r="D30" s="3" t="s">
        <v>18</v>
      </c>
      <c r="E30" s="3" t="s">
        <v>20</v>
      </c>
      <c r="F30" s="1" t="s">
        <v>22</v>
      </c>
      <c r="G30" s="1" t="s">
        <v>24</v>
      </c>
      <c r="H30" s="2" t="s">
        <v>26</v>
      </c>
      <c r="I30" s="1" t="s">
        <v>28</v>
      </c>
      <c r="J30" s="1" t="s">
        <v>30</v>
      </c>
      <c r="K30" s="1" t="s">
        <v>32</v>
      </c>
      <c r="L30" s="1" t="s">
        <v>42</v>
      </c>
      <c r="M30" s="1" t="s">
        <v>43</v>
      </c>
      <c r="N30" s="1" t="s">
        <v>44</v>
      </c>
      <c r="O30" s="1" t="s">
        <v>45</v>
      </c>
      <c r="P30" s="1" t="s">
        <v>38</v>
      </c>
      <c r="Q30" s="1" t="s">
        <v>40</v>
      </c>
    </row>
    <row r="31" spans="1:17" ht="54.95" customHeight="1">
      <c r="A31" s="1">
        <v>15</v>
      </c>
      <c r="B31" s="17" t="s">
        <v>55</v>
      </c>
      <c r="C31" s="2">
        <v>50.5</v>
      </c>
      <c r="D31" s="3">
        <v>5.05</v>
      </c>
      <c r="E31" s="3">
        <v>1284.4000000000001</v>
      </c>
      <c r="F31" s="1">
        <v>304.5</v>
      </c>
      <c r="G31" s="1">
        <v>985.7</v>
      </c>
      <c r="H31" s="2">
        <v>3622.1</v>
      </c>
      <c r="I31" s="1">
        <f>(C31-D31)+H31</f>
        <v>3667.5499999999997</v>
      </c>
      <c r="J31" s="1">
        <f>SUM(C31:H31)</f>
        <v>6252.25</v>
      </c>
      <c r="K31" s="9">
        <f t="shared" si="0"/>
        <v>8.0770922467911547E-4</v>
      </c>
      <c r="L31" s="9">
        <f>E31/J31</f>
        <v>0.20543004518373387</v>
      </c>
      <c r="M31" s="9">
        <f>F31/J31</f>
        <v>4.8702467111839738E-2</v>
      </c>
      <c r="N31" s="9">
        <f>G31/J31</f>
        <v>0.15765524411211965</v>
      </c>
      <c r="O31" s="9">
        <f>I31/J31</f>
        <v>0.58659682514294853</v>
      </c>
      <c r="P31" s="10">
        <f>D31/I31</f>
        <v>1.3769410096658532E-3</v>
      </c>
      <c r="Q31" s="10">
        <f>1-P31</f>
        <v>0.9986230589903341</v>
      </c>
    </row>
    <row r="32" spans="1:17" ht="60" customHeight="1">
      <c r="A32" s="1">
        <v>16</v>
      </c>
      <c r="B32" s="17" t="s">
        <v>56</v>
      </c>
      <c r="C32" s="2">
        <v>581.4</v>
      </c>
      <c r="D32" s="3">
        <v>58.14</v>
      </c>
      <c r="E32" s="3">
        <v>1299.7</v>
      </c>
      <c r="F32" s="1">
        <v>142.30000000000001</v>
      </c>
      <c r="G32" s="1">
        <v>568.4</v>
      </c>
      <c r="H32" s="2">
        <v>3283.3</v>
      </c>
      <c r="I32" s="1">
        <f>(C32-D32)+H32</f>
        <v>3806.5600000000004</v>
      </c>
      <c r="J32" s="1">
        <f>SUM(C32:H32)</f>
        <v>5933.24</v>
      </c>
      <c r="K32" s="9">
        <f t="shared" si="0"/>
        <v>9.7990305465479235E-3</v>
      </c>
      <c r="L32" s="9">
        <f>E32/J32</f>
        <v>0.21905400759113067</v>
      </c>
      <c r="M32" s="9">
        <f>F32/J32</f>
        <v>2.3983523336322147E-2</v>
      </c>
      <c r="N32" s="9">
        <f>G32/J32</f>
        <v>9.5799259763636735E-2</v>
      </c>
      <c r="O32" s="9">
        <f>I32/J32</f>
        <v>0.64156514821581467</v>
      </c>
      <c r="P32" s="10">
        <f>D32/I32</f>
        <v>1.5273632886385606E-2</v>
      </c>
      <c r="Q32" s="10">
        <f>1-P32</f>
        <v>0.98472636711361439</v>
      </c>
    </row>
    <row r="34" spans="1:17" ht="18.75">
      <c r="B34" s="13" t="s">
        <v>54</v>
      </c>
      <c r="C34" s="14"/>
      <c r="D34" s="15"/>
      <c r="E34" s="15"/>
      <c r="F34" s="13"/>
      <c r="G34" s="13"/>
      <c r="H34" s="14"/>
      <c r="I34" s="13"/>
      <c r="J34" s="13"/>
      <c r="K34" s="13" t="s">
        <v>14</v>
      </c>
      <c r="L34" s="13"/>
      <c r="M34" s="13"/>
      <c r="N34" s="13"/>
      <c r="O34" s="13"/>
      <c r="P34" s="13"/>
      <c r="Q34" s="13"/>
    </row>
    <row r="35" spans="1:17" ht="18.75">
      <c r="B35" s="13" t="s">
        <v>53</v>
      </c>
      <c r="C35" s="14"/>
      <c r="D35" s="15"/>
      <c r="E35" s="15"/>
      <c r="F35" s="13"/>
      <c r="G35" s="13"/>
      <c r="H35" s="14"/>
      <c r="I35" s="13"/>
      <c r="J35" s="13"/>
      <c r="K35" s="13"/>
      <c r="L35" s="13"/>
      <c r="M35" s="13"/>
      <c r="N35" s="13"/>
      <c r="O35" s="13"/>
      <c r="P35" s="13"/>
      <c r="Q35" s="13"/>
    </row>
    <row r="36" spans="1:17" ht="18" customHeight="1">
      <c r="B36" s="17" t="s">
        <v>51</v>
      </c>
      <c r="C36" s="2" t="s">
        <v>16</v>
      </c>
      <c r="D36" s="3" t="s">
        <v>18</v>
      </c>
      <c r="E36" s="3" t="s">
        <v>20</v>
      </c>
      <c r="F36" s="1" t="s">
        <v>22</v>
      </c>
      <c r="G36" s="1" t="s">
        <v>24</v>
      </c>
      <c r="H36" s="2" t="s">
        <v>26</v>
      </c>
      <c r="I36" s="1" t="s">
        <v>28</v>
      </c>
      <c r="J36" s="1" t="s">
        <v>30</v>
      </c>
      <c r="K36" s="1" t="s">
        <v>32</v>
      </c>
      <c r="L36" s="1" t="s">
        <v>42</v>
      </c>
      <c r="M36" s="1" t="s">
        <v>43</v>
      </c>
      <c r="N36" s="1" t="s">
        <v>44</v>
      </c>
      <c r="O36" s="1" t="s">
        <v>45</v>
      </c>
      <c r="P36" t="s">
        <v>38</v>
      </c>
      <c r="Q36" t="s">
        <v>40</v>
      </c>
    </row>
    <row r="37" spans="1:17" ht="54.95" customHeight="1">
      <c r="A37" s="1">
        <v>17</v>
      </c>
      <c r="B37" s="17" t="s">
        <v>57</v>
      </c>
      <c r="C37" s="2">
        <v>238.6</v>
      </c>
      <c r="D37" s="3">
        <v>23.86</v>
      </c>
      <c r="E37" s="3">
        <v>891.9</v>
      </c>
      <c r="F37" s="1">
        <v>536.79999999999995</v>
      </c>
      <c r="G37" s="1">
        <v>1217.8</v>
      </c>
      <c r="H37" s="2">
        <v>3279.1</v>
      </c>
      <c r="I37" s="1">
        <f>(C37-D37)+H37</f>
        <v>3493.84</v>
      </c>
      <c r="J37" s="1">
        <f>SUM(C37:H37)</f>
        <v>6188.0599999999995</v>
      </c>
      <c r="K37" s="9">
        <f>D37/J37</f>
        <v>3.8558126456433844E-3</v>
      </c>
      <c r="L37" s="9">
        <f>E37/J37</f>
        <v>0.14413240983442308</v>
      </c>
      <c r="M37" s="9">
        <f>F37/J37</f>
        <v>8.6747704450183094E-2</v>
      </c>
      <c r="N37" s="9">
        <f>G37/J37</f>
        <v>0.19679835037152194</v>
      </c>
      <c r="O37" s="9">
        <f>I37/J37</f>
        <v>0.56460991005258521</v>
      </c>
      <c r="P37" s="10">
        <f>D37/I37</f>
        <v>6.8291621825842053E-3</v>
      </c>
      <c r="Q37" s="10">
        <f>1-P37</f>
        <v>0.99317083781741577</v>
      </c>
    </row>
    <row r="38" spans="1:17" ht="57.95" customHeight="1">
      <c r="A38" s="1">
        <v>18</v>
      </c>
      <c r="B38" s="17" t="s">
        <v>58</v>
      </c>
      <c r="C38" s="2">
        <v>322.10000000000002</v>
      </c>
      <c r="D38" s="3">
        <v>32.21</v>
      </c>
      <c r="E38" s="3">
        <v>1918.9</v>
      </c>
      <c r="F38" s="1">
        <v>145.80000000000001</v>
      </c>
      <c r="G38" s="1">
        <v>1347.6</v>
      </c>
      <c r="H38" s="2">
        <v>3112.8</v>
      </c>
      <c r="I38" s="1">
        <f>(C38-D38)+H38</f>
        <v>3402.69</v>
      </c>
      <c r="J38" s="1">
        <f>SUM(C38:H38)</f>
        <v>6879.41</v>
      </c>
      <c r="K38" s="9">
        <f>D38/J38</f>
        <v>4.6820875627415727E-3</v>
      </c>
      <c r="L38" s="9">
        <f>E38/J38</f>
        <v>0.27893380391632422</v>
      </c>
      <c r="M38" s="9">
        <f>F38/J38</f>
        <v>2.1193677946219229E-2</v>
      </c>
      <c r="N38" s="9">
        <f>G38/J38</f>
        <v>0.19588889163460238</v>
      </c>
      <c r="O38" s="9">
        <f>I38/J38</f>
        <v>0.49461945137737107</v>
      </c>
      <c r="P38" s="10">
        <f>D38/I38</f>
        <v>9.4660401035651202E-3</v>
      </c>
      <c r="Q38" s="10">
        <f>1-P38</f>
        <v>0.99053395989643489</v>
      </c>
    </row>
    <row r="40" spans="1:17">
      <c r="C40" s="7"/>
      <c r="D40" s="8"/>
      <c r="E40" s="8"/>
    </row>
  </sheetData>
  <mergeCells count="17">
    <mergeCell ref="B35:J35"/>
    <mergeCell ref="A2:A4"/>
    <mergeCell ref="K11:Q12"/>
    <mergeCell ref="K2:Q3"/>
    <mergeCell ref="K20:Q21"/>
    <mergeCell ref="K28:Q29"/>
    <mergeCell ref="K34:Q35"/>
    <mergeCell ref="B20:J20"/>
    <mergeCell ref="B21:J21"/>
    <mergeCell ref="B28:J28"/>
    <mergeCell ref="B29:J29"/>
    <mergeCell ref="B34:J34"/>
    <mergeCell ref="A1:O1"/>
    <mergeCell ref="B2:J2"/>
    <mergeCell ref="B3:J3"/>
    <mergeCell ref="B11:J11"/>
    <mergeCell ref="B12:J12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2024-09-25T10:28:00Z</dcterms:created>
  <dcterms:modified xsi:type="dcterms:W3CDTF">2026-05-21T05:10:53Z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21DEA368DA8040B1B5FD8A5674555B34_13</vt:lpwstr>
  </property>
  <property fmtid="{D5CDD505-2E9C-101B-9397-08002B2CF9AE}" pid="3" name="KSOProductBuildVer">
    <vt:lpwstr>2052-12.1.0.21915</vt:lpwstr>
  </property>
</Properties>
</file>